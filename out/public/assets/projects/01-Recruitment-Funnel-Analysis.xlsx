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nnel Data" sheetId="2" state="visible" r:id="rId2"/>
    <sheet xmlns:r="http://schemas.openxmlformats.org/officeDocument/2006/relationships" name="Insights &amp; Method" sheetId="3" state="visible" r:id="rId3"/>
    <sheet xmlns:r="http://schemas.openxmlformats.org/officeDocument/2006/relationships" name="Data Dictionary" sheetId="4" state="visible" r:id="rId4"/>
  </sheets>
  <definedNames>
    <definedName name="_xlnm.Print_Area" localSheetId="0">'Dashboard'!$A$1:$H$18</definedName>
    <definedName name="_xlnm._FilterDatabase" localSheetId="1" hidden="1">'Funnel Data'!$A$4:$G$11</definedName>
    <definedName name="_xlnm.Print_Area" localSheetId="1">'Funnel Data'!$A$1:$G$14</definedName>
    <definedName name="_xlnm.Print_Area" localSheetId="2">'Insights &amp; Method'!$A$1:$B$13</definedName>
    <definedName name="_xlnm.Print_Area" localSheetId="3">'Data Dictionary'!$A$1:$C$8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243247"/>
      <sz val="19"/>
    </font>
    <font>
      <i val="1"/>
      <color rgb="009C5700"/>
      <sz val="10"/>
    </font>
    <font>
      <b val="1"/>
      <color rgb="00FFFFFF"/>
      <sz val="9"/>
    </font>
    <font>
      <b val="1"/>
      <color rgb="00243247"/>
      <sz val="18"/>
    </font>
    <font>
      <b val="1"/>
      <color rgb="00243247"/>
      <sz val="12"/>
    </font>
    <font>
      <b val="1"/>
      <color rgb="00FFFFFF"/>
    </font>
    <font>
      <b val="1"/>
      <color rgb="00243247"/>
      <sz val="16"/>
    </font>
    <font>
      <i val="1"/>
      <color rgb="009C5700"/>
    </font>
    <font>
      <b val="1"/>
      <color rgb="00243247"/>
    </font>
  </fonts>
  <fills count="5">
    <fill>
      <patternFill/>
    </fill>
    <fill>
      <patternFill patternType="gray125"/>
    </fill>
    <fill>
      <patternFill patternType="solid">
        <fgColor rgb="0031465A"/>
      </patternFill>
    </fill>
    <fill>
      <patternFill patternType="solid">
        <fgColor rgb="00F4F2EC"/>
      </patternFill>
    </fill>
    <fill>
      <patternFill patternType="solid">
        <fgColor rgb="00E9EEE7"/>
      </patternFill>
    </fill>
  </fills>
  <borders count="4">
    <border>
      <left/>
      <right/>
      <top/>
      <bottom/>
      <diagonal/>
    </border>
    <border>
      <bottom style="hair">
        <color rgb="00DCE3EA"/>
      </bottom>
    </border>
    <border>
      <left/>
      <right/>
      <top/>
      <bottom style="hair">
        <color rgb="00DCE3EA"/>
      </bottom>
      <diagonal/>
    </border>
    <border>
      <right/>
      <bottom style="hair">
        <color rgb="00DCE3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164" fontId="0" fillId="0" borderId="0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2" pivotButton="0" quotePrefix="0" xfId="0"/>
    <xf numFmtId="0" fontId="8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 volume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'Dashboard'!$A$12:$A$18</f>
            </numRef>
          </cat>
          <val>
            <numRef>
              <f>'Dashboard'!$B$12:$B$18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Recruitment stage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50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9" customWidth="1" min="4" max="4"/>
    <col width="22" customWidth="1" min="5" max="5"/>
    <col width="4" customWidth="1" min="6" max="6"/>
    <col width="22" customWidth="1" min="7" max="7"/>
    <col width="18" customWidth="1" min="8" max="8"/>
  </cols>
  <sheetData>
    <row r="1">
      <c r="A1" s="1" t="inlineStr">
        <is>
          <t>RECRUITMENT FUNNEL ANALYSIS</t>
        </is>
      </c>
    </row>
    <row r="2">
      <c r="A2" s="2" t="inlineStr">
        <is>
          <t>Self-initiated portfolio project | All candidate counts are synthetic and illustrative</t>
        </is>
      </c>
    </row>
    <row r="4">
      <c r="A4" s="3" t="inlineStr">
        <is>
          <t>APPLICANTS</t>
        </is>
      </c>
      <c r="C4" s="3" t="inlineStr">
        <is>
          <t>OFFERS ACCEPTED</t>
        </is>
      </c>
      <c r="E4" s="3" t="inlineStr">
        <is>
          <t>OVERALL CONVERSION</t>
        </is>
      </c>
      <c r="G4" s="3" t="inlineStr">
        <is>
          <t>LARGEST STAGE DROP-OFF</t>
        </is>
      </c>
    </row>
    <row r="5">
      <c r="A5" s="4">
        <f>'Funnel Data'!C5</f>
        <v/>
      </c>
      <c r="C5" s="4">
        <f>'Funnel Data'!C11</f>
        <v/>
      </c>
      <c r="E5" s="5">
        <f>IFERROR('Funnel Data'!C11/'Funnel Data'!C5,0)</f>
        <v/>
      </c>
      <c r="G5" s="4">
        <f>MAX('Funnel Data'!D6:D11)</f>
        <v/>
      </c>
    </row>
    <row r="7">
      <c r="A7" s="6" t="inlineStr">
        <is>
          <t>How to read this dashboard</t>
        </is>
      </c>
    </row>
    <row r="8" ht="34" customHeight="1">
      <c r="A8" s="7" t="inlineStr">
        <is>
          <t>Stage conversion compares candidates in a stage with the previous stage. Overall conversion compares accepted offers with the initial applicant pool. Drop-off is a signal to investigate, not proof of a process failure.</t>
        </is>
      </c>
    </row>
    <row r="9" ht="24" customHeight="1"/>
    <row r="11" ht="32" customHeight="1">
      <c r="A11" s="8" t="inlineStr">
        <is>
          <t>Stage</t>
        </is>
      </c>
      <c r="B11" s="8" t="inlineStr">
        <is>
          <t>Candidates</t>
        </is>
      </c>
      <c r="C11" s="8" t="inlineStr">
        <is>
          <t>Drop-off</t>
        </is>
      </c>
      <c r="D11" s="8" t="inlineStr">
        <is>
          <t>Stage conversion</t>
        </is>
      </c>
      <c r="E11" s="8" t="inlineStr">
        <is>
          <t>Cumulative conversion</t>
        </is>
      </c>
    </row>
    <row r="12" ht="27" customHeight="1">
      <c r="A12">
        <f>'Funnel Data'!B5</f>
        <v/>
      </c>
      <c r="B12">
        <f>'Funnel Data'!C5</f>
        <v/>
      </c>
      <c r="C12">
        <f>'Funnel Data'!D5</f>
        <v/>
      </c>
      <c r="D12" s="9">
        <f>'Funnel Data'!E5</f>
        <v/>
      </c>
      <c r="E12" s="9">
        <f>'Funnel Data'!F5</f>
        <v/>
      </c>
    </row>
    <row r="13" ht="27" customHeight="1">
      <c r="A13">
        <f>'Funnel Data'!B6</f>
        <v/>
      </c>
      <c r="B13">
        <f>'Funnel Data'!C6</f>
        <v/>
      </c>
      <c r="C13">
        <f>'Funnel Data'!D6</f>
        <v/>
      </c>
      <c r="D13" s="9">
        <f>'Funnel Data'!E6</f>
        <v/>
      </c>
      <c r="E13" s="9">
        <f>'Funnel Data'!F6</f>
        <v/>
      </c>
    </row>
    <row r="14" ht="27" customHeight="1">
      <c r="A14">
        <f>'Funnel Data'!B7</f>
        <v/>
      </c>
      <c r="B14">
        <f>'Funnel Data'!C7</f>
        <v/>
      </c>
      <c r="C14">
        <f>'Funnel Data'!D7</f>
        <v/>
      </c>
      <c r="D14" s="9">
        <f>'Funnel Data'!E7</f>
        <v/>
      </c>
      <c r="E14" s="9">
        <f>'Funnel Data'!F7</f>
        <v/>
      </c>
    </row>
    <row r="15" ht="27" customHeight="1">
      <c r="A15">
        <f>'Funnel Data'!B8</f>
        <v/>
      </c>
      <c r="B15">
        <f>'Funnel Data'!C8</f>
        <v/>
      </c>
      <c r="C15">
        <f>'Funnel Data'!D8</f>
        <v/>
      </c>
      <c r="D15" s="9">
        <f>'Funnel Data'!E8</f>
        <v/>
      </c>
      <c r="E15" s="9">
        <f>'Funnel Data'!F8</f>
        <v/>
      </c>
    </row>
    <row r="16" ht="27" customHeight="1">
      <c r="A16">
        <f>'Funnel Data'!B9</f>
        <v/>
      </c>
      <c r="B16">
        <f>'Funnel Data'!C9</f>
        <v/>
      </c>
      <c r="C16">
        <f>'Funnel Data'!D9</f>
        <v/>
      </c>
      <c r="D16" s="9">
        <f>'Funnel Data'!E9</f>
        <v/>
      </c>
      <c r="E16" s="9">
        <f>'Funnel Data'!F9</f>
        <v/>
      </c>
    </row>
    <row r="17" ht="27" customHeight="1">
      <c r="A17">
        <f>'Funnel Data'!B10</f>
        <v/>
      </c>
      <c r="B17">
        <f>'Funnel Data'!C10</f>
        <v/>
      </c>
      <c r="C17">
        <f>'Funnel Data'!D10</f>
        <v/>
      </c>
      <c r="D17" s="9">
        <f>'Funnel Data'!E10</f>
        <v/>
      </c>
      <c r="E17" s="9">
        <f>'Funnel Data'!F10</f>
        <v/>
      </c>
    </row>
    <row r="18" ht="27" customHeight="1">
      <c r="A18">
        <f>'Funnel Data'!B11</f>
        <v/>
      </c>
      <c r="B18">
        <f>'Funnel Data'!C11</f>
        <v/>
      </c>
      <c r="C18">
        <f>'Funnel Data'!D11</f>
        <v/>
      </c>
      <c r="D18" s="9">
        <f>'Funnel Data'!E11</f>
        <v/>
      </c>
      <c r="E18" s="9">
        <f>'Funnel Data'!F11</f>
        <v/>
      </c>
    </row>
  </sheetData>
  <mergeCells count="2">
    <mergeCell ref="A2:H2"/>
    <mergeCell ref="A8:H9"/>
  </mergeCell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24" customWidth="1" min="4" max="4"/>
    <col width="19" customWidth="1" min="5" max="5"/>
    <col width="24" customWidth="1" min="6" max="6"/>
    <col width="57" customWidth="1" min="7" max="7"/>
  </cols>
  <sheetData>
    <row r="1">
      <c r="A1" s="10" t="inlineStr">
        <is>
          <t>Recruitment Funnel — Stage Data</t>
        </is>
      </c>
      <c r="B1" s="11" t="n"/>
      <c r="C1" s="11" t="n"/>
      <c r="D1" s="11" t="n"/>
      <c r="E1" s="11" t="n"/>
      <c r="F1" s="11" t="n"/>
      <c r="G1" s="11" t="n"/>
    </row>
    <row r="2">
      <c r="A2" s="19" t="inlineStr">
        <is>
          <t>Synthetic counts for demonstration only; not real hiring data.</t>
        </is>
      </c>
      <c r="B2" s="18" t="n"/>
      <c r="C2" s="18" t="n"/>
      <c r="D2" s="18" t="n"/>
      <c r="E2" s="18" t="n"/>
      <c r="F2" s="18" t="n"/>
      <c r="G2" s="18" t="n"/>
    </row>
    <row r="3">
      <c r="A3" s="11" t="n"/>
      <c r="B3" s="11" t="n"/>
      <c r="C3" s="11" t="n"/>
      <c r="D3" s="11" t="n"/>
      <c r="E3" s="11" t="n"/>
      <c r="F3" s="11" t="n"/>
      <c r="G3" s="11" t="n"/>
    </row>
    <row r="4" ht="32" customHeight="1">
      <c r="A4" s="13" t="inlineStr">
        <is>
          <t>Stage order</t>
        </is>
      </c>
      <c r="B4" s="13" t="inlineStr">
        <is>
          <t>Stage</t>
        </is>
      </c>
      <c r="C4" s="13" t="inlineStr">
        <is>
          <t>Candidates</t>
        </is>
      </c>
      <c r="D4" s="13" t="inlineStr">
        <is>
          <t>Drop-off from previous</t>
        </is>
      </c>
      <c r="E4" s="13" t="inlineStr">
        <is>
          <t>Stage conversion</t>
        </is>
      </c>
      <c r="F4" s="13" t="inlineStr">
        <is>
          <t>Cumulative conversion</t>
        </is>
      </c>
      <c r="G4" s="13" t="inlineStr">
        <is>
          <t>Question to investigate</t>
        </is>
      </c>
    </row>
    <row r="5" ht="36" customHeight="1">
      <c r="A5" s="11" t="n">
        <v>1</v>
      </c>
      <c r="B5" s="11" t="inlineStr">
        <is>
          <t>Applications received</t>
        </is>
      </c>
      <c r="C5" s="11" t="n">
        <v>240</v>
      </c>
      <c r="D5" s="11" t="n">
        <v>0</v>
      </c>
      <c r="E5" s="14" t="n">
        <v>1</v>
      </c>
      <c r="F5" s="14" t="n">
        <v>1</v>
      </c>
      <c r="G5" s="11" t="inlineStr">
        <is>
          <t>Starting pool; confirm cohort/time window</t>
        </is>
      </c>
    </row>
    <row r="6" ht="36" customHeight="1">
      <c r="A6" s="11" t="n">
        <v>2</v>
      </c>
      <c r="B6" s="11" t="inlineStr">
        <is>
          <t>Resume screening passed</t>
        </is>
      </c>
      <c r="C6" s="11" t="n">
        <v>180</v>
      </c>
      <c r="D6" s="11">
        <f>C5-C6</f>
        <v/>
      </c>
      <c r="E6" s="14">
        <f>IFERROR(C6/C5,0)</f>
        <v/>
      </c>
      <c r="F6" s="14">
        <f>IFERROR(C6/$C$5,0)</f>
        <v/>
      </c>
      <c r="G6" s="11" t="inlineStr">
        <is>
          <t>Review screening criteria and role requirements</t>
        </is>
      </c>
    </row>
    <row r="7" ht="36" customHeight="1">
      <c r="A7" s="11" t="n">
        <v>3</v>
      </c>
      <c r="B7" s="11" t="inlineStr">
        <is>
          <t>Recruiter screen passed</t>
        </is>
      </c>
      <c r="C7" s="11" t="n">
        <v>110</v>
      </c>
      <c r="D7" s="11">
        <f>C6-C7</f>
        <v/>
      </c>
      <c r="E7" s="14">
        <f>IFERROR(C7/C6,0)</f>
        <v/>
      </c>
      <c r="F7" s="14">
        <f>IFERROR(C7/$C$5,0)</f>
        <v/>
      </c>
      <c r="G7" s="11" t="inlineStr">
        <is>
          <t>Review scheduling, candidate expectations and role alignment</t>
        </is>
      </c>
    </row>
    <row r="8" ht="36" customHeight="1">
      <c r="A8" s="11" t="n">
        <v>4</v>
      </c>
      <c r="B8" s="11" t="inlineStr">
        <is>
          <t>Hiring manager interview passed</t>
        </is>
      </c>
      <c r="C8" s="11" t="n">
        <v>70</v>
      </c>
      <c r="D8" s="11">
        <f>C7-C8</f>
        <v/>
      </c>
      <c r="E8" s="14">
        <f>IFERROR(C8/C7,0)</f>
        <v/>
      </c>
      <c r="F8" s="14">
        <f>IFERROR(C8/$C$5,0)</f>
        <v/>
      </c>
      <c r="G8" s="11" t="inlineStr">
        <is>
          <t>Review interview turnaround and evaluation consistency</t>
        </is>
      </c>
    </row>
    <row r="9" ht="36" customHeight="1">
      <c r="A9" s="11" t="n">
        <v>5</v>
      </c>
      <c r="B9" s="11" t="inlineStr">
        <is>
          <t>Final interview completed</t>
        </is>
      </c>
      <c r="C9" s="11" t="n">
        <v>32</v>
      </c>
      <c r="D9" s="11">
        <f>C8-C9</f>
        <v/>
      </c>
      <c r="E9" s="14">
        <f>IFERROR(C9/C8,0)</f>
        <v/>
      </c>
      <c r="F9" s="14">
        <f>IFERROR(C9/$C$5,0)</f>
        <v/>
      </c>
      <c r="G9" s="11" t="inlineStr">
        <is>
          <t>Review panel availability and process length</t>
        </is>
      </c>
    </row>
    <row r="10" ht="36" customHeight="1">
      <c r="A10" s="11" t="n">
        <v>6</v>
      </c>
      <c r="B10" s="11" t="inlineStr">
        <is>
          <t>Offer extended</t>
        </is>
      </c>
      <c r="C10" s="11" t="n">
        <v>18</v>
      </c>
      <c r="D10" s="11">
        <f>C9-C10</f>
        <v/>
      </c>
      <c r="E10" s="14">
        <f>IFERROR(C10/C9,0)</f>
        <v/>
      </c>
      <c r="F10" s="14">
        <f>IFERROR(C10/$C$5,0)</f>
        <v/>
      </c>
      <c r="G10" s="11" t="inlineStr">
        <is>
          <t>Review decision approvals and offer timelines</t>
        </is>
      </c>
    </row>
    <row r="11" ht="36" customHeight="1">
      <c r="A11" s="11" t="n">
        <v>7</v>
      </c>
      <c r="B11" s="11" t="inlineStr">
        <is>
          <t>Offer accepted</t>
        </is>
      </c>
      <c r="C11" s="11" t="n">
        <v>14</v>
      </c>
      <c r="D11" s="11">
        <f>C10-C11</f>
        <v/>
      </c>
      <c r="E11" s="14">
        <f>IFERROR(C11/C10,0)</f>
        <v/>
      </c>
      <c r="F11" s="14">
        <f>IFERROR(C11/$C$5,0)</f>
        <v/>
      </c>
      <c r="G11" s="11" t="inlineStr">
        <is>
          <t>Capture decline reasons where voluntarily provided</t>
        </is>
      </c>
    </row>
    <row r="13">
      <c r="A13" s="15" t="inlineStr">
        <is>
          <t>Cohort assumption</t>
        </is>
      </c>
      <c r="B13" s="16" t="inlineStr">
        <is>
          <t>This simplified exercise treats the stage counts as one sequential cohort. Real recruiting data can include parallel stages, re-entry, withdrawals, multiple roles and different reporting windows.</t>
        </is>
      </c>
    </row>
    <row r="14"/>
  </sheetData>
  <autoFilter ref="A4:G11"/>
  <mergeCells count="2">
    <mergeCell ref="B13:G14"/>
    <mergeCell ref="A2:G2"/>
  </mergeCell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12" customWidth="1" min="2" max="2"/>
  </cols>
  <sheetData>
    <row r="1">
      <c r="A1" s="10" t="inlineStr">
        <is>
          <t>Interpretation, limitations and next steps</t>
        </is>
      </c>
      <c r="B1" s="11" t="n"/>
    </row>
    <row r="2">
      <c r="A2" s="11" t="n"/>
      <c r="B2" s="11" t="n"/>
    </row>
    <row r="3" ht="32" customHeight="1">
      <c r="A3" s="13" t="inlineStr">
        <is>
          <t>Topic</t>
        </is>
      </c>
      <c r="B3" s="13" t="inlineStr">
        <is>
          <t>Portfolio finding / guidance</t>
        </is>
      </c>
    </row>
    <row r="4" ht="48" customHeight="1">
      <c r="A4" s="17" t="inlineStr">
        <is>
          <t>Project type</t>
        </is>
      </c>
      <c r="B4" s="11" t="inlineStr">
        <is>
          <t>Self-initiated case study using synthetic stage-level counts.</t>
        </is>
      </c>
    </row>
    <row r="5" ht="48" customHeight="1">
      <c r="A5" s="17" t="inlineStr">
        <is>
          <t>Illustrative observation 1</t>
        </is>
      </c>
      <c r="B5" s="11" t="inlineStr">
        <is>
          <t>The largest absolute drop-off is 70 candidates between resume screening passed (180) and recruiter screen passed (110). This identifies a stage to investigate, not a cause.</t>
        </is>
      </c>
    </row>
    <row r="6" ht="48" customHeight="1">
      <c r="A6" s="17" t="inlineStr">
        <is>
          <t>Illustrative observation 2</t>
        </is>
      </c>
      <c r="B6" s="11" t="inlineStr">
        <is>
          <t>The overall application-to-acceptance conversion is 14 / 240 = 5.8% for this simplified sequential funnel.</t>
        </is>
      </c>
    </row>
    <row r="7" ht="48" customHeight="1">
      <c r="A7" s="17" t="inlineStr">
        <is>
          <t>Illustrative observation 3</t>
        </is>
      </c>
      <c r="B7" s="11" t="inlineStr">
        <is>
          <t>18 offers extended and 14 accepted gives a 77.8% offer acceptance rate within this illustrative dataset.</t>
        </is>
      </c>
    </row>
    <row r="8" ht="48" customHeight="1">
      <c r="A8" s="17" t="inlineStr">
        <is>
          <t>Definitions</t>
        </is>
      </c>
      <c r="B8" s="11" t="inlineStr">
        <is>
          <t>Stage conversion = current-stage candidates ÷ previous-stage candidates. Cumulative conversion = current-stage candidates ÷ initial applicants. Drop-off = previous-stage count − current-stage count.</t>
        </is>
      </c>
    </row>
    <row r="9" ht="48" customHeight="1">
      <c r="A9" s="17" t="inlineStr">
        <is>
          <t>Interpretation guardrail</t>
        </is>
      </c>
      <c r="B9" s="11" t="inlineStr">
        <is>
          <t>Counts alone do not explain why candidates leave. Validate stage definitions, cohort windows, role mix, withdrawals, source channel, time-in-stage and data quality before drawing conclusions.</t>
        </is>
      </c>
    </row>
    <row r="10" ht="48" customHeight="1">
      <c r="A10" s="17" t="inlineStr">
        <is>
          <t>Recommendation 1</t>
        </is>
      </c>
      <c r="B10" s="11" t="inlineStr">
        <is>
          <t>Track time-in-stage alongside conversion to distinguish possible scheduling friction from candidate decisions.</t>
        </is>
      </c>
    </row>
    <row r="11" ht="48" customHeight="1">
      <c r="A11" s="17" t="inlineStr">
        <is>
          <t>Recommendation 2</t>
        </is>
      </c>
      <c r="B11" s="11" t="inlineStr">
        <is>
          <t>Capture standardised withdrawal and offer-decline reasons only when appropriate, with clear privacy controls and voluntary feedback where possible.</t>
        </is>
      </c>
    </row>
    <row r="12" ht="48" customHeight="1">
      <c r="A12" s="17" t="inlineStr">
        <is>
          <t>Recommendation 3</t>
        </is>
      </c>
      <c r="B12" s="11" t="inlineStr">
        <is>
          <t>Use consistent screening and interview criteria; compare roles or sources only when definitions and sample sizes are appropriate.</t>
        </is>
      </c>
    </row>
    <row r="13" ht="48" customHeight="1">
      <c r="A13" s="17" t="inlineStr">
        <is>
          <t>Next iteration</t>
        </is>
      </c>
      <c r="B13" s="11" t="inlineStr">
        <is>
          <t>Add row-level synthetic records with role family, source channel, stage dates and outcome reason; build PivotTables and segmented views.</t>
        </is>
      </c>
    </row>
  </sheetData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5" customWidth="1" min="3" max="3"/>
  </cols>
  <sheetData>
    <row r="1" ht="32" customHeight="1">
      <c r="A1" s="13" t="inlineStr">
        <is>
          <t>Field</t>
        </is>
      </c>
      <c r="B1" s="13" t="inlineStr">
        <is>
          <t>Type</t>
        </is>
      </c>
      <c r="C1" s="13" t="inlineStr">
        <is>
          <t>Definition</t>
        </is>
      </c>
    </row>
    <row r="2" ht="34" customHeight="1">
      <c r="A2" s="11" t="inlineStr">
        <is>
          <t>Stage order</t>
        </is>
      </c>
      <c r="B2" s="11" t="inlineStr">
        <is>
          <t>Integer</t>
        </is>
      </c>
      <c r="C2" s="11" t="inlineStr">
        <is>
          <t>Sequential order used in this simplified example.</t>
        </is>
      </c>
    </row>
    <row r="3" ht="34" customHeight="1">
      <c r="A3" s="11" t="inlineStr">
        <is>
          <t>Stage</t>
        </is>
      </c>
      <c r="B3" s="11" t="inlineStr">
        <is>
          <t>Text</t>
        </is>
      </c>
      <c r="C3" s="11" t="inlineStr">
        <is>
          <t>Recruitment stage label; stage definitions should be agreed before analysis.</t>
        </is>
      </c>
    </row>
    <row r="4" ht="34" customHeight="1">
      <c r="A4" s="11" t="inlineStr">
        <is>
          <t>Candidates</t>
        </is>
      </c>
      <c r="B4" s="11" t="inlineStr">
        <is>
          <t>Integer</t>
        </is>
      </c>
      <c r="C4" s="11" t="inlineStr">
        <is>
          <t>Synthetic count entering or completing the stated stage.</t>
        </is>
      </c>
    </row>
    <row r="5" ht="34" customHeight="1">
      <c r="A5" s="11" t="inlineStr">
        <is>
          <t>Drop-off from previous</t>
        </is>
      </c>
      <c r="B5" s="11" t="inlineStr">
        <is>
          <t>Integer</t>
        </is>
      </c>
      <c r="C5" s="11" t="inlineStr">
        <is>
          <t>Prior stage count minus current stage count.</t>
        </is>
      </c>
    </row>
    <row r="6" ht="34" customHeight="1">
      <c r="A6" s="11" t="inlineStr">
        <is>
          <t>Stage conversion</t>
        </is>
      </c>
      <c r="B6" s="11" t="inlineStr">
        <is>
          <t>Percentage</t>
        </is>
      </c>
      <c r="C6" s="11" t="inlineStr">
        <is>
          <t>Current stage count divided by previous stage count.</t>
        </is>
      </c>
    </row>
    <row r="7" ht="34" customHeight="1">
      <c r="A7" s="11" t="inlineStr">
        <is>
          <t>Cumulative conversion</t>
        </is>
      </c>
      <c r="B7" s="11" t="inlineStr">
        <is>
          <t>Percentage</t>
        </is>
      </c>
      <c r="C7" s="11" t="inlineStr">
        <is>
          <t>Current stage count divided by initial applicant count.</t>
        </is>
      </c>
    </row>
    <row r="8" ht="34" customHeight="1">
      <c r="A8" s="11" t="inlineStr">
        <is>
          <t>Question to investigate</t>
        </is>
      </c>
      <c r="B8" s="11" t="inlineStr">
        <is>
          <t>Text</t>
        </is>
      </c>
      <c r="C8" s="11" t="inlineStr">
        <is>
          <t>A hypothesis prompt for further review; not a proven explanation.</t>
        </is>
      </c>
    </row>
  </sheetData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2026-10-16T14:18:01Z</dcterms:created>
  <dcterms:modified xmlns:dcterms="http://purl.org/dc/terms/" xmlns:xsi="http://www.w3.org/2001/XMLSchema-instance" xsi:type="dcterms:W3CDTF">2026-10-16T14:24:42Z</dcterms:modified>
</cp:coreProperties>
</file>